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5125" windowHeight="1231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C30" i="18"/>
  <c r="D30" i="18"/>
  <c r="E30" i="18"/>
  <c r="F30" i="18"/>
  <c r="B30" i="18"/>
  <c r="C29" i="18"/>
  <c r="D29" i="18"/>
  <c r="E29" i="18"/>
  <c r="F29" i="18"/>
  <c r="B29" i="18"/>
  <c r="D28" i="18"/>
  <c r="E28" i="18"/>
  <c r="F28" i="18"/>
  <c r="C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B6" i="18"/>
  <c r="C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2" i="1"/>
</calcChain>
</file>

<file path=xl/sharedStrings.xml><?xml version="1.0" encoding="utf-8"?>
<sst xmlns="http://schemas.openxmlformats.org/spreadsheetml/2006/main" count="401" uniqueCount="179">
  <si>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</si>
  <si>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</si>
  <si>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</si>
  <si>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</si>
  <si>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</si>
  <si>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</si>
  <si>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</si>
  <si>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</si>
  <si>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</si>
  <si>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</si>
  <si>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</si>
  <si>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</si>
  <si>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</si>
  <si>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</si>
  <si>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</si>
  <si>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</si>
  <si>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</si>
  <si>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</si>
  <si>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</si>
  <si>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</si>
  <si>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</si>
  <si>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</si>
  <si>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</si>
  <si>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</si>
  <si>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</si>
  <si>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</si>
  <si>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</si>
  <si>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</si>
  <si>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</si>
  <si>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</si>
  <si>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</si>
  <si>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</si>
  <si>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</si>
  <si>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</si>
  <si>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</si>
  <si>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</si>
  <si>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</si>
  <si>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</si>
  <si>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</si>
  <si>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</si>
  <si>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</si>
  <si>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</si>
  <si>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</si>
  <si>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</si>
  <si>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</si>
  <si>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</si>
  <si>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</si>
  <si>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</si>
  <si>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</si>
  <si>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</si>
  <si>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</si>
  <si>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</si>
  <si>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</si>
  <si>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</si>
  <si>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</si>
  <si>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</si>
  <si>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</si>
  <si>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</si>
  <si>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</si>
  <si>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</si>
  <si>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</si>
  <si>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</si>
  <si>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</si>
  <si>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</si>
  <si>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</si>
  <si>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</si>
  <si>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</si>
  <si>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</si>
  <si>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</si>
  <si>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</si>
  <si>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</si>
  <si>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</si>
  <si>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</si>
  <si>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</si>
  <si>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</si>
  <si>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</si>
  <si>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</si>
  <si>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</si>
  <si>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</si>
  <si>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</si>
  <si>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</si>
  <si>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</si>
  <si>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</si>
  <si>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</si>
  <si>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</si>
  <si>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</si>
  <si>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</si>
  <si>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</si>
  <si>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</si>
  <si>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</si>
  <si>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</si>
  <si>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</si>
  <si>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</si>
  <si>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</si>
  <si>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</si>
  <si>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</si>
  <si>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</si>
  <si>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</si>
  <si>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</si>
  <si>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</si>
  <si>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</si>
  <si>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</si>
  <si>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</si>
  <si>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</si>
  <si>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</si>
  <si>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</si>
  <si>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</si>
  <si>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</si>
  <si>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</si>
  <si>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</si>
  <si>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</si>
  <si>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</si>
  <si>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</si>
  <si>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</si>
  <si>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</si>
  <si>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</si>
  <si>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</si>
  <si>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</si>
  <si>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</si>
  <si>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</si>
  <si>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</si>
  <si>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</si>
  <si>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</si>
  <si>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</si>
  <si>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</si>
  <si>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</si>
  <si>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</si>
  <si>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</si>
  <si>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</si>
  <si>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</si>
  <si>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</si>
  <si>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</si>
  <si>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</si>
  <si>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</si>
  <si>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</si>
  <si>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</si>
  <si>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</si>
  <si>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</si>
  <si>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</si>
  <si>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</si>
  <si>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</si>
  <si>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</si>
  <si>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</si>
  <si>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</si>
  <si>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</si>
  <si>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</si>
  <si>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</si>
  <si>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</si>
  <si>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</si>
  <si>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</si>
  <si>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</si>
  <si>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</si>
  <si>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</si>
  <si>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</si>
  <si>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</si>
  <si>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</si>
  <si>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</si>
  <si>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</si>
  <si>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</si>
  <si>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</si>
  <si>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</si>
  <si>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</si>
  <si>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</si>
  <si>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</si>
  <si>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</si>
  <si>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</si>
  <si>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</si>
  <si>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</si>
  <si>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</si>
  <si>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</si>
  <si>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</si>
  <si>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</si>
  <si>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</si>
  <si>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</si>
  <si>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</si>
  <si>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</si>
  <si>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</si>
  <si>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IF(H2&gt;20,H2,"")</t>
  </si>
  <si>
    <t>TEXT(Dataset!X2,"yyyy-MM-dd")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</si>
</sst>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4" fontId="7" fillId="0" borderId="0" xfId="0" applyNumberFormat="1" applyFont="1"/>
    <xf numFmtId="0" fontId="9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5" sqref="B1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5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0"/>
  <sheetViews>
    <sheetView topLeftCell="G1" zoomScaleNormal="100" workbookViewId="0">
      <pane ySplit="1" topLeftCell="A2" activePane="bottomLeft" state="frozen"/>
      <selection pane="bottomLeft" activeCell="Y4" sqref="Y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26" bestFit="1" customWidth="1"/>
    <col min="25" max="25" width="14.83203125" style="1" customWidth="1"/>
    <col min="26" max="16384" width="9" style="1"/>
  </cols>
  <sheetData>
    <row r="1" spans="1:27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7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TEXT(X2,"yyyy-MM-dd")</f>
        <v>2023-05-05</v>
      </c>
      <c r="AA2" s="1" t="str">
        <f>IF(H2&gt;20,H2,"")</f>
        <v/>
      </c>
    </row>
    <row r="3" spans="1:27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TEXT(X3,"yyyy-MM-dd")</f>
        <v>2023-05-02</v>
      </c>
      <c r="AA3" s="1" t="str">
        <f t="shared" ref="AA3:AA40" si="1">IF(H3&gt;20,H3,"")</f>
        <v/>
      </c>
    </row>
    <row r="4" spans="1:27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  <c r="AA4" s="1" t="str">
        <f t="shared" si="1"/>
        <v/>
      </c>
    </row>
    <row r="5" spans="1:27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  <c r="AA5" s="1" t="str">
        <f t="shared" si="1"/>
        <v/>
      </c>
    </row>
    <row r="6" spans="1:27" x14ac:dyDescent="0.25">
      <c r="A6" s="1" t="s">
        <v>9</v>
      </c>
      <c r="B6" s="1">
        <v>20008</v>
      </c>
      <c r="C6" s="1" t="str">
        <f>TEXT(,"yyyy-MM-dd")</f>
        <v>1900-01-00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  <c r="AA6" s="1" t="str">
        <f t="shared" si="1"/>
        <v/>
      </c>
    </row>
    <row r="7" spans="1:27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  <c r="AA7" s="1" t="str">
        <f t="shared" si="1"/>
        <v/>
      </c>
    </row>
    <row r="8" spans="1:27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  <c r="AA8" s="1" t="str">
        <f t="shared" si="1"/>
        <v/>
      </c>
    </row>
    <row r="9" spans="1:27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  <c r="AA9" s="1" t="str">
        <f t="shared" si="1"/>
        <v/>
      </c>
    </row>
    <row r="10" spans="1:27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  <c r="AA10" s="1">
        <f t="shared" si="1"/>
        <v>24.1</v>
      </c>
    </row>
    <row r="11" spans="1:27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  <c r="AA11" s="1">
        <f t="shared" si="1"/>
        <v>27.5</v>
      </c>
    </row>
    <row r="12" spans="1:27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  <c r="AA12" s="1" t="str">
        <f t="shared" si="1"/>
        <v/>
      </c>
    </row>
    <row r="13" spans="1:27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  <c r="AA13" s="1">
        <f t="shared" si="1"/>
        <v>32.1</v>
      </c>
    </row>
    <row r="14" spans="1:27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  <c r="AA14" s="1">
        <f t="shared" si="1"/>
        <v>34.700000000000003</v>
      </c>
    </row>
    <row r="15" spans="1:27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  <c r="AA15" s="1">
        <f t="shared" si="1"/>
        <v>39.299999999999997</v>
      </c>
    </row>
    <row r="16" spans="1:27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  <c r="AA16" s="1">
        <f t="shared" si="1"/>
        <v>41</v>
      </c>
    </row>
    <row r="17" spans="1:27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  <c r="AA17" s="1">
        <f t="shared" si="1"/>
        <v>42.3</v>
      </c>
    </row>
    <row r="18" spans="1:27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  <c r="AA18" s="1">
        <f t="shared" si="1"/>
        <v>43.3</v>
      </c>
    </row>
    <row r="19" spans="1:27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  <c r="AA19" s="1">
        <f t="shared" si="1"/>
        <v>45.5</v>
      </c>
    </row>
    <row r="20" spans="1:27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  <c r="AA20" s="1">
        <f t="shared" si="1"/>
        <v>50.1</v>
      </c>
    </row>
    <row r="21" spans="1:27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  <c r="AA21" s="1">
        <f t="shared" si="1"/>
        <v>52.3</v>
      </c>
    </row>
    <row r="22" spans="1:27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  <c r="AA22" s="1">
        <f t="shared" si="1"/>
        <v>54.6</v>
      </c>
    </row>
    <row r="23" spans="1:27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  <c r="AA23" s="1">
        <f t="shared" si="1"/>
        <v>57.2</v>
      </c>
    </row>
    <row r="24" spans="1:27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  <c r="AA24" s="1">
        <f t="shared" si="1"/>
        <v>59.2</v>
      </c>
    </row>
    <row r="25" spans="1:27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  <c r="AA25" s="1">
        <f t="shared" si="1"/>
        <v>59.2</v>
      </c>
    </row>
    <row r="26" spans="1:27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  <c r="AA26" s="1" t="str">
        <f t="shared" si="1"/>
        <v/>
      </c>
    </row>
    <row r="27" spans="1:27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  <c r="AA27" s="1">
        <f t="shared" si="1"/>
        <v>61.4</v>
      </c>
    </row>
    <row r="28" spans="1:27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  <c r="AA28" s="1">
        <f t="shared" si="1"/>
        <v>61.4</v>
      </c>
    </row>
    <row r="29" spans="1:27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  <c r="AA29" s="1">
        <f t="shared" si="1"/>
        <v>63.6</v>
      </c>
    </row>
    <row r="30" spans="1:27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  <c r="AA30" s="1" t="str">
        <f t="shared" si="1"/>
        <v/>
      </c>
    </row>
    <row r="31" spans="1:27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  <c r="AA31" s="1">
        <f t="shared" si="1"/>
        <v>65.900000000000006</v>
      </c>
    </row>
    <row r="32" spans="1:27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  <c r="AA32" s="1" t="str">
        <f t="shared" si="1"/>
        <v/>
      </c>
    </row>
    <row r="33" spans="1:27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  <c r="AA33" s="1">
        <f t="shared" si="1"/>
        <v>61.4</v>
      </c>
    </row>
    <row r="34" spans="1:27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  <c r="AA34" s="1">
        <f t="shared" si="1"/>
        <v>63.6</v>
      </c>
    </row>
    <row r="35" spans="1:27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  <c r="AA35" s="1">
        <f t="shared" si="1"/>
        <v>65.900000000000006</v>
      </c>
    </row>
    <row r="36" spans="1:27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  <c r="AA36" s="1">
        <f t="shared" si="1"/>
        <v>70.400000000000006</v>
      </c>
    </row>
    <row r="37" spans="1:27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  <c r="AA37" s="1">
        <f t="shared" si="1"/>
        <v>72</v>
      </c>
    </row>
    <row r="38" spans="1:27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  <c r="AA38" s="1">
        <f t="shared" si="1"/>
        <v>72.8</v>
      </c>
    </row>
    <row r="39" spans="1:27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  <c r="AA39" s="1">
        <f t="shared" si="1"/>
        <v>75</v>
      </c>
    </row>
    <row r="40" spans="1:27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  <c r="AA40" s="1">
        <f t="shared" si="1"/>
        <v>77.2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">
    <cfRule type="cellIs" dxfId="2" priority="3" operator="equal">
      <formula>-1</formula>
    </cfRule>
  </conditionalFormatting>
  <conditionalFormatting sqref="A1:XFD1048576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7" sqref="C7"/>
    </sheetView>
  </sheetViews>
  <sheetFormatPr defaultColWidth="11" defaultRowHeight="15" x14ac:dyDescent="0.25"/>
  <cols>
    <col min="1" max="1" width="8.33203125" style="1" bestFit="1" customWidth="1"/>
    <col min="2" max="2" width="76.83203125" style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46" t="s">
        <v>178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VLOOKUP($A6,Dataset!$A:$X,MATCH("car1", Dataset!$A$1:$X$1, 0),FALSE)</f>
        <v>2.7</v>
      </c>
      <c r="C6" s="11">
        <f>VLOOKUP($A6,Dataset!$A:$X,MATCH("bus2", Dataset!$A$1:$X$1, 0),FALSE)</f>
        <v>7.6</v>
      </c>
      <c r="D6" s="11">
        <f>VLOOKUP($A6,Dataset!$A:$X,MATCH("rv3", Dataset!$A$1:$X$1, 0),FALSE)</f>
        <v>4.2</v>
      </c>
      <c r="E6" s="11">
        <f>VLOOKUP($A6,Dataset!$A:$X,MATCH("truck2", Dataset!$A$1:$X$1, 0),FALSE)</f>
        <v>8.9</v>
      </c>
      <c r="F6" s="11">
        <f>VLOOKUP($A6,Dataset!$A:$X,MATCH("taxi2", Dataset!$A$1:$X$1, 0),FALSE)</f>
        <v>4.2</v>
      </c>
    </row>
    <row r="7" spans="1:7" ht="15" x14ac:dyDescent="0.25">
      <c r="A7" s="7" t="s">
        <v>4</v>
      </c>
      <c r="B7" s="11">
        <f>VLOOKUP($A7,Dataset!$A:$X,MATCH("car1", Dataset!$A$1:$X$1, 0),FALSE)</f>
        <v>2.7</v>
      </c>
      <c r="C7" s="11">
        <f>VLOOKUP($A7,Dataset!$A:$X,MATCH("bus2", Dataset!$A$1:$X$1, 0),FALSE)</f>
        <v>7.6</v>
      </c>
      <c r="D7" s="11">
        <f>VLOOKUP($A7,Dataset!$A:$X,MATCH("rv3", Dataset!$A$1:$X$1, 0),FALSE)</f>
        <v>4.2</v>
      </c>
      <c r="E7" s="11">
        <f>VLOOKUP($A7,Dataset!$A:$X,MATCH("truck2", Dataset!$A$1:$X$1, 0),FALSE)</f>
        <v>8.9</v>
      </c>
      <c r="F7" s="11">
        <f>VLOOKUP($A7,Dataset!$A:$X,MATCH("taxi2", Dataset!$A$1:$X$1, 0),FALSE)</f>
        <v>4.2</v>
      </c>
    </row>
    <row r="8" spans="1:7" ht="15" x14ac:dyDescent="0.25">
      <c r="A8" s="7" t="s">
        <v>7</v>
      </c>
      <c r="B8" s="11">
        <f>VLOOKUP($A8,Dataset!$A:$X,MATCH("car1", Dataset!$A$1:$X$1, 0),FALSE)</f>
        <v>3.6</v>
      </c>
      <c r="C8" s="11">
        <f>VLOOKUP($A8,Dataset!$A:$X,MATCH("bus2", Dataset!$A$1:$X$1, 0),FALSE)</f>
        <v>11.1</v>
      </c>
      <c r="D8" s="11">
        <f>VLOOKUP($A8,Dataset!$A:$X,MATCH("rv3", Dataset!$A$1:$X$1, 0),FALSE)</f>
        <v>5.8</v>
      </c>
      <c r="E8" s="11">
        <f>VLOOKUP($A8,Dataset!$A:$X,MATCH("truck2", Dataset!$A$1:$X$1, 0),FALSE)</f>
        <v>12.2</v>
      </c>
      <c r="F8" s="11">
        <f>VLOOKUP($A8,Dataset!$A:$X,MATCH("taxi2", Dataset!$A$1:$X$1, 0),FALSE)</f>
        <v>5.8</v>
      </c>
    </row>
    <row r="9" spans="1:7" ht="15" x14ac:dyDescent="0.25">
      <c r="A9" s="7" t="s">
        <v>8</v>
      </c>
      <c r="B9" s="11">
        <f>VLOOKUP($A9,Dataset!$A:$X,MATCH("car1", Dataset!$A$1:$X$1, 0),FALSE)</f>
        <v>4.9000000000000004</v>
      </c>
      <c r="C9" s="11">
        <f>VLOOKUP($A9,Dataset!$A:$X,MATCH("bus2", Dataset!$A$1:$X$1, 0),FALSE)</f>
        <v>13.3</v>
      </c>
      <c r="D9" s="11">
        <f>VLOOKUP($A9,Dataset!$A:$X,MATCH("rv3", Dataset!$A$1:$X$1, 0),FALSE)</f>
        <v>8.1</v>
      </c>
      <c r="E9" s="11">
        <f>VLOOKUP($A9,Dataset!$A:$X,MATCH("truck2", Dataset!$A$1:$X$1, 0),FALSE)</f>
        <v>17</v>
      </c>
      <c r="F9" s="11">
        <f>VLOOKUP($A9,Dataset!$A:$X,MATCH("taxi2", Dataset!$A$1:$X$1, 0),FALSE)</f>
        <v>8.1</v>
      </c>
    </row>
    <row r="10" spans="1:7" ht="15" x14ac:dyDescent="0.25">
      <c r="A10" s="7" t="s">
        <v>11</v>
      </c>
      <c r="B10" s="11">
        <f>VLOOKUP($A10,Dataset!$A:$X,MATCH("car1", Dataset!$A$1:$X$1, 0),FALSE)</f>
        <v>9.4</v>
      </c>
      <c r="C10" s="11">
        <f>VLOOKUP($A10,Dataset!$A:$X,MATCH("bus2", Dataset!$A$1:$X$1, 0),FALSE)</f>
        <v>28.3</v>
      </c>
      <c r="D10" s="11">
        <f>VLOOKUP($A10,Dataset!$A:$X,MATCH("rv3", Dataset!$A$1:$X$1, 0),FALSE)</f>
        <v>16.100000000000001</v>
      </c>
      <c r="E10" s="11">
        <f>VLOOKUP($A10,Dataset!$A:$X,MATCH("truck2", Dataset!$A$1:$X$1, 0),FALSE)</f>
        <v>32.799999999999997</v>
      </c>
      <c r="F10" s="11">
        <f>VLOOKUP($A10,Dataset!$A:$X,MATCH("taxi2", Dataset!$A$1:$X$1, 0),FALSE)</f>
        <v>16.100000000000001</v>
      </c>
    </row>
    <row r="11" spans="1:7" ht="15" x14ac:dyDescent="0.25">
      <c r="A11" s="7" t="s">
        <v>12</v>
      </c>
      <c r="B11" s="11">
        <f>VLOOKUP($A11,Dataset!$A:$X,MATCH("car1", Dataset!$A$1:$X$1, 0),FALSE)</f>
        <v>11.6</v>
      </c>
      <c r="C11" s="11">
        <f>VLOOKUP($A11,Dataset!$A:$X,MATCH("bus2", Dataset!$A$1:$X$1, 0),FALSE)</f>
        <v>35.200000000000003</v>
      </c>
      <c r="D11" s="11">
        <f>VLOOKUP($A11,Dataset!$A:$X,MATCH("rv3", Dataset!$A$1:$X$1, 0),FALSE)</f>
        <v>21.3</v>
      </c>
      <c r="E11" s="11">
        <f>VLOOKUP($A11,Dataset!$A:$X,MATCH("truck2", Dataset!$A$1:$X$1, 0),FALSE)</f>
        <v>43</v>
      </c>
      <c r="F11" s="11">
        <f>VLOOKUP($A11,Dataset!$A:$X,MATCH("taxi2", Dataset!$A$1:$X$1, 0),FALSE)</f>
        <v>21.3</v>
      </c>
    </row>
    <row r="12" spans="1:7" ht="15" x14ac:dyDescent="0.25">
      <c r="A12" s="7" t="s">
        <v>14</v>
      </c>
      <c r="B12" s="11">
        <f>VLOOKUP($A12,Dataset!$A:$X,MATCH("car1", Dataset!$A$1:$X$1, 0),FALSE)</f>
        <v>18.399999999999999</v>
      </c>
      <c r="C12" s="11">
        <f>VLOOKUP($A12,Dataset!$A:$X,MATCH("bus2", Dataset!$A$1:$X$1, 0),FALSE)</f>
        <v>55.6</v>
      </c>
      <c r="D12" s="11">
        <f>VLOOKUP($A12,Dataset!$A:$X,MATCH("rv3", Dataset!$A$1:$X$1, 0),FALSE)</f>
        <v>33.799999999999997</v>
      </c>
      <c r="E12" s="11">
        <f>VLOOKUP($A12,Dataset!$A:$X,MATCH("truck2", Dataset!$A$1:$X$1, 0),FALSE)</f>
        <v>67.900000000000006</v>
      </c>
      <c r="F12" s="11">
        <f>VLOOKUP($A12,Dataset!$A:$X,MATCH("taxi2", Dataset!$A$1:$X$1, 0),FALSE)</f>
        <v>33.799999999999997</v>
      </c>
    </row>
    <row r="13" spans="1:7" ht="15" x14ac:dyDescent="0.25">
      <c r="A13" s="7" t="s">
        <v>15</v>
      </c>
      <c r="B13" s="11">
        <f>VLOOKUP($A13,Dataset!$A:$X,MATCH("car1", Dataset!$A$1:$X$1, 0),FALSE)</f>
        <v>0</v>
      </c>
      <c r="C13" s="11">
        <f>VLOOKUP($A13,Dataset!$A:$X,MATCH("bus2", Dataset!$A$1:$X$1, 0),FALSE)</f>
        <v>0</v>
      </c>
      <c r="D13" s="11">
        <f>VLOOKUP($A13,Dataset!$A:$X,MATCH("rv3", Dataset!$A$1:$X$1, 0),FALSE)</f>
        <v>0</v>
      </c>
      <c r="E13" s="11">
        <f>VLOOKUP($A13,Dataset!$A:$X,MATCH("truck2", Dataset!$A$1:$X$1, 0),FALSE)</f>
        <v>0</v>
      </c>
      <c r="F13" s="11">
        <f>VLOOKUP($A13,Dataset!$A:$X,MATCH("taxi2", Dataset!$A$1:$X$1, 0),FALSE)</f>
        <v>0</v>
      </c>
    </row>
    <row r="14" spans="1:7" ht="15" x14ac:dyDescent="0.25">
      <c r="A14" s="7" t="s">
        <v>16</v>
      </c>
      <c r="B14" s="11">
        <f>VLOOKUP($A14,Dataset!$A:$X,MATCH("car1", Dataset!$A$1:$X$1, 0),FALSE)</f>
        <v>21.9</v>
      </c>
      <c r="C14" s="11">
        <f>VLOOKUP($A14,Dataset!$A:$X,MATCH("bus2", Dataset!$A$1:$X$1, 0),FALSE)</f>
        <v>61.5</v>
      </c>
      <c r="D14" s="11">
        <f>VLOOKUP($A14,Dataset!$A:$X,MATCH("rv3", Dataset!$A$1:$X$1, 0),FALSE)</f>
        <v>40.1</v>
      </c>
      <c r="E14" s="11">
        <f>VLOOKUP($A14,Dataset!$A:$X,MATCH("truck2", Dataset!$A$1:$X$1, 0),FALSE)</f>
        <v>76.599999999999994</v>
      </c>
      <c r="F14" s="11">
        <f>VLOOKUP($A14,Dataset!$A:$X,MATCH("taxi2", Dataset!$A$1:$X$1, 0),FALSE)</f>
        <v>40.1</v>
      </c>
    </row>
    <row r="15" spans="1:7" ht="15" x14ac:dyDescent="0.25">
      <c r="A15" s="7" t="s">
        <v>18</v>
      </c>
      <c r="B15" s="11">
        <f>VLOOKUP($A15,Dataset!$A:$X,MATCH("car1", Dataset!$A$1:$X$1, 0),FALSE)</f>
        <v>26.8</v>
      </c>
      <c r="C15" s="11">
        <f>VLOOKUP($A15,Dataset!$A:$X,MATCH("bus2", Dataset!$A$1:$X$1, 0),FALSE)</f>
        <v>79.599999999999994</v>
      </c>
      <c r="D15" s="11">
        <f>VLOOKUP($A15,Dataset!$A:$X,MATCH("rv3", Dataset!$A$1:$X$1, 0),FALSE)</f>
        <v>47.9</v>
      </c>
      <c r="E15" s="11">
        <f>VLOOKUP($A15,Dataset!$A:$X,MATCH("truck2", Dataset!$A$1:$X$1, 0),FALSE)</f>
        <v>96.8</v>
      </c>
      <c r="F15" s="11">
        <f>VLOOKUP($A15,Dataset!$A:$X,MATCH("taxi2", Dataset!$A$1:$X$1, 0),FALSE)</f>
        <v>47.9</v>
      </c>
    </row>
    <row r="16" spans="1:7" ht="15" x14ac:dyDescent="0.25">
      <c r="A16" s="7" t="s">
        <v>20</v>
      </c>
      <c r="B16" s="11">
        <f>VLOOKUP($A16,Dataset!$A:$X,MATCH("car1", Dataset!$A$1:$X$1, 0),FALSE)</f>
        <v>28.5</v>
      </c>
      <c r="C16" s="11">
        <f>VLOOKUP($A16,Dataset!$A:$X,MATCH("bus2", Dataset!$A$1:$X$1, 0),FALSE)</f>
        <v>85.4</v>
      </c>
      <c r="D16" s="11">
        <f>VLOOKUP($A16,Dataset!$A:$X,MATCH("rv3", Dataset!$A$1:$X$1, 0),FALSE)</f>
        <v>52.3</v>
      </c>
      <c r="E16" s="11">
        <f>VLOOKUP($A16,Dataset!$A:$X,MATCH("truck2", Dataset!$A$1:$X$1, 0),FALSE)</f>
        <v>106.1</v>
      </c>
      <c r="F16" s="11">
        <f>VLOOKUP($A16,Dataset!$A:$X,MATCH("taxi2", Dataset!$A$1:$X$1, 0),FALSE)</f>
        <v>52.3</v>
      </c>
    </row>
    <row r="17" spans="1:6" ht="15" x14ac:dyDescent="0.25">
      <c r="A17" s="7" t="s">
        <v>22</v>
      </c>
      <c r="B17" s="11">
        <f>VLOOKUP($A17,Dataset!$A:$X,MATCH("car1", Dataset!$A$1:$X$1, 0),FALSE)</f>
        <v>30.7</v>
      </c>
      <c r="C17" s="11">
        <f>VLOOKUP($A17,Dataset!$A:$X,MATCH("bus2", Dataset!$A$1:$X$1, 0),FALSE)</f>
        <v>92.1</v>
      </c>
      <c r="D17" s="11">
        <f>VLOOKUP($A17,Dataset!$A:$X,MATCH("rv3", Dataset!$A$1:$X$1, 0),FALSE)</f>
        <v>57</v>
      </c>
      <c r="E17" s="11">
        <f>VLOOKUP($A17,Dataset!$A:$X,MATCH("truck2", Dataset!$A$1:$X$1, 0),FALSE)</f>
        <v>115.1</v>
      </c>
      <c r="F17" s="11">
        <f>VLOOKUP($A17,Dataset!$A:$X,MATCH("taxi2", Dataset!$A$1:$X$1, 0),FALSE)</f>
        <v>57</v>
      </c>
    </row>
    <row r="18" spans="1:6" ht="15" x14ac:dyDescent="0.25">
      <c r="A18" s="7" t="s">
        <v>23</v>
      </c>
      <c r="B18" s="11">
        <f>VLOOKUP($A18,Dataset!$A:$X,MATCH("car1", Dataset!$A$1:$X$1, 0),FALSE)</f>
        <v>33.799999999999997</v>
      </c>
      <c r="C18" s="11">
        <f>VLOOKUP($A18,Dataset!$A:$X,MATCH("bus2", Dataset!$A$1:$X$1, 0),FALSE)</f>
        <v>101.3</v>
      </c>
      <c r="D18" s="11">
        <f>VLOOKUP($A18,Dataset!$A:$X,MATCH("rv3", Dataset!$A$1:$X$1, 0),FALSE)</f>
        <v>61.4</v>
      </c>
      <c r="E18" s="11">
        <f>VLOOKUP($A18,Dataset!$A:$X,MATCH("truck2", Dataset!$A$1:$X$1, 0),FALSE)</f>
        <v>124.4</v>
      </c>
      <c r="F18" s="11">
        <f>VLOOKUP($A18,Dataset!$A:$X,MATCH("taxi2", Dataset!$A$1:$X$1, 0),FALSE)</f>
        <v>61.4</v>
      </c>
    </row>
    <row r="19" spans="1:6" ht="15" x14ac:dyDescent="0.25">
      <c r="A19" s="7" t="s">
        <v>24</v>
      </c>
      <c r="B19" s="11">
        <f>VLOOKUP($A19,Dataset!$A:$X,MATCH("car1", Dataset!$A$1:$X$1, 0),FALSE)</f>
        <v>34.700000000000003</v>
      </c>
      <c r="C19" s="11">
        <f>VLOOKUP($A19,Dataset!$A:$X,MATCH("bus2", Dataset!$A$1:$X$1, 0),FALSE)</f>
        <v>106.1</v>
      </c>
      <c r="D19" s="11">
        <f>VLOOKUP($A19,Dataset!$A:$X,MATCH("rv3", Dataset!$A$1:$X$1, 0),FALSE)</f>
        <v>63.6</v>
      </c>
      <c r="E19" s="11">
        <f>VLOOKUP($A19,Dataset!$A:$X,MATCH("truck2", Dataset!$A$1:$X$1, 0),FALSE)</f>
        <v>128.6</v>
      </c>
      <c r="F19" s="11">
        <f>VLOOKUP($A19,Dataset!$A:$X,MATCH("taxi2", Dataset!$A$1:$X$1, 0),FALSE)</f>
        <v>63.6</v>
      </c>
    </row>
    <row r="20" spans="1:6" ht="15" x14ac:dyDescent="0.25">
      <c r="A20" s="7" t="s">
        <v>28</v>
      </c>
      <c r="B20" s="11">
        <f>VLOOKUP($A20,Dataset!$A:$X,MATCH("car1", Dataset!$A$1:$X$1, 0),FALSE)</f>
        <v>0</v>
      </c>
      <c r="C20" s="11">
        <f>VLOOKUP($A20,Dataset!$A:$X,MATCH("bus2", Dataset!$A$1:$X$1, 0),FALSE)</f>
        <v>0</v>
      </c>
      <c r="D20" s="11">
        <f>VLOOKUP($A20,Dataset!$A:$X,MATCH("rv3", Dataset!$A$1:$X$1, 0),FALSE)</f>
        <v>0</v>
      </c>
      <c r="E20" s="11">
        <f>VLOOKUP($A20,Dataset!$A:$X,MATCH("truck2", Dataset!$A$1:$X$1, 0),FALSE)</f>
        <v>0</v>
      </c>
      <c r="F20" s="11">
        <f>VLOOKUP($A20,Dataset!$A:$X,MATCH("taxi2", Dataset!$A$1:$X$1, 0),FALSE)</f>
        <v>0</v>
      </c>
    </row>
    <row r="21" spans="1:6" ht="15" x14ac:dyDescent="0.25">
      <c r="A21" s="7" t="s">
        <v>57</v>
      </c>
      <c r="B21" s="11">
        <f>VLOOKUP($A21,Dataset!$A:$X,MATCH("car1", Dataset!$A$1:$X$1, 0),FALSE)</f>
        <v>41.3</v>
      </c>
      <c r="C21" s="11">
        <f>VLOOKUP($A21,Dataset!$A:$X,MATCH("bus2", Dataset!$A$1:$X$1, 0),FALSE)</f>
        <v>124.4</v>
      </c>
      <c r="D21" s="11">
        <f>VLOOKUP($A21,Dataset!$A:$X,MATCH("rv3", Dataset!$A$1:$X$1, 0),FALSE)</f>
        <v>75</v>
      </c>
      <c r="E21" s="11">
        <f>VLOOKUP($A21,Dataset!$A:$X,MATCH("truck2", Dataset!$A$1:$X$1, 0),FALSE)</f>
        <v>151.5</v>
      </c>
      <c r="F21" s="11">
        <f>VLOOKUP($A21,Dataset!$A:$X,MATCH("taxi2", Dataset!$A$1:$X$1, 0),FALSE)</f>
        <v>75</v>
      </c>
    </row>
    <row r="22" spans="1:6" ht="15" x14ac:dyDescent="0.25">
      <c r="A22" s="7" t="s">
        <v>58</v>
      </c>
      <c r="B22" s="11">
        <f>VLOOKUP($A22,Dataset!$A:$X,MATCH("car1", Dataset!$A$1:$X$1, 0),FALSE)</f>
        <v>-1</v>
      </c>
      <c r="C22" s="11">
        <f>VLOOKUP($A22,Dataset!$A:$X,MATCH("bus2", Dataset!$A$1:$X$1, 0),FALSE)</f>
        <v>-1</v>
      </c>
      <c r="D22" s="11">
        <f>VLOOKUP($A22,Dataset!$A:$X,MATCH("rv3", Dataset!$A$1:$X$1, 0),FALSE)</f>
        <v>-1</v>
      </c>
      <c r="E22" s="11">
        <f>VLOOKUP($A22,Dataset!$A:$X,MATCH("truck2", Dataset!$A$1:$X$1, 0),FALSE)</f>
        <v>-1</v>
      </c>
      <c r="F22" s="11">
        <f>VLOOKUP($A22,Dataset!$A:$X,MATCH("taxi2", Dataset!$A$1:$X$1, 0),FALSE)</f>
        <v>-1</v>
      </c>
    </row>
    <row r="23" spans="1:6" ht="15" x14ac:dyDescent="0.25">
      <c r="A23" s="7" t="s">
        <v>31</v>
      </c>
      <c r="B23" s="11">
        <f>VLOOKUP($A23,Dataset!$A:$X,MATCH("car1", Dataset!$A$1:$X$1, 0),FALSE)</f>
        <v>45</v>
      </c>
      <c r="C23" s="11">
        <f>VLOOKUP($A23,Dataset!$A:$X,MATCH("bus2", Dataset!$A$1:$X$1, 0),FALSE)</f>
        <v>133.4</v>
      </c>
      <c r="D23" s="11">
        <f>VLOOKUP($A23,Dataset!$A:$X,MATCH("rv3", Dataset!$A$1:$X$1, 0),FALSE)</f>
        <v>79.400000000000006</v>
      </c>
      <c r="E23" s="11">
        <f>VLOOKUP($A23,Dataset!$A:$X,MATCH("truck2", Dataset!$A$1:$X$1, 0),FALSE)</f>
        <v>160.9</v>
      </c>
      <c r="F23" s="11">
        <f>VLOOKUP($A23,Dataset!$A:$X,MATCH("taxi2", Dataset!$A$1:$X$1, 0),FALSE)</f>
        <v>79.400000000000006</v>
      </c>
    </row>
    <row r="24" spans="1:6" ht="15" x14ac:dyDescent="0.25">
      <c r="A24" s="7" t="s">
        <v>32</v>
      </c>
      <c r="B24" s="11">
        <f>VLOOKUP($A24,Dataset!$A:$X,MATCH("car1", Dataset!$A$1:$X$1, 0),FALSE)</f>
        <v>-1</v>
      </c>
      <c r="C24" s="11">
        <f>VLOOKUP($A24,Dataset!$A:$X,MATCH("bus2", Dataset!$A$1:$X$1, 0),FALSE)</f>
        <v>-1</v>
      </c>
      <c r="D24" s="11">
        <f>VLOOKUP($A24,Dataset!$A:$X,MATCH("rv3", Dataset!$A$1:$X$1, 0),FALSE)</f>
        <v>-1</v>
      </c>
      <c r="E24" s="11">
        <f>VLOOKUP($A24,Dataset!$A:$X,MATCH("truck2", Dataset!$A$1:$X$1, 0),FALSE)</f>
        <v>-1</v>
      </c>
      <c r="F24" s="11">
        <f>VLOOKUP($A24,Dataset!$A:$X,MATCH("taxi2", Dataset!$A$1:$X$1, 0),FALSE)</f>
        <v>-1</v>
      </c>
    </row>
    <row r="25" spans="1:6" ht="15" x14ac:dyDescent="0.25">
      <c r="A25" s="7" t="s">
        <v>34</v>
      </c>
      <c r="B25" s="11">
        <f>VLOOKUP($A25,Dataset!$A:$X,MATCH("car1", Dataset!$A$1:$X$1, 0),FALSE)</f>
        <v>43.3</v>
      </c>
      <c r="C25" s="11">
        <f>VLOOKUP($A25,Dataset!$A:$X,MATCH("bus2", Dataset!$A$1:$X$1, 0),FALSE)</f>
        <v>128.6</v>
      </c>
      <c r="D25" s="11">
        <f>VLOOKUP($A25,Dataset!$A:$X,MATCH("rv3", Dataset!$A$1:$X$1, 0),FALSE)</f>
        <v>79.400000000000006</v>
      </c>
      <c r="E25" s="11">
        <f>VLOOKUP($A25,Dataset!$A:$X,MATCH("truck2", Dataset!$A$1:$X$1, 0),FALSE)</f>
        <v>160.9</v>
      </c>
      <c r="F25" s="11">
        <f>VLOOKUP($A25,Dataset!$A:$X,MATCH("taxi2", Dataset!$A$1:$X$1, 0),FALSE)</f>
        <v>79.400000000000006</v>
      </c>
    </row>
    <row r="26" spans="1:6" ht="15" x14ac:dyDescent="0.25">
      <c r="A26" s="7" t="s">
        <v>37</v>
      </c>
      <c r="B26" s="11">
        <f>VLOOKUP($A26,Dataset!$A:$X,MATCH("car1", Dataset!$A$1:$X$1, 0),FALSE)</f>
        <v>49.1</v>
      </c>
      <c r="C26" s="11">
        <f>VLOOKUP($A26,Dataset!$A:$X,MATCH("bus2", Dataset!$A$1:$X$1, 0),FALSE)</f>
        <v>146.80000000000001</v>
      </c>
      <c r="D26" s="11">
        <f>VLOOKUP($A26,Dataset!$A:$X,MATCH("rv3", Dataset!$A$1:$X$1, 0),FALSE)</f>
        <v>90.9</v>
      </c>
      <c r="E26" s="11">
        <f>VLOOKUP($A26,Dataset!$A:$X,MATCH("truck2", Dataset!$A$1:$X$1, 0),FALSE)</f>
        <v>183.5</v>
      </c>
      <c r="F26" s="11">
        <f>VLOOKUP($A26,Dataset!$A:$X,MATCH("taxi2", Dataset!$A$1:$X$1, 0),FALSE)</f>
        <v>90.9</v>
      </c>
    </row>
    <row r="27" spans="1:6" ht="15" x14ac:dyDescent="0.25">
      <c r="A27" s="7" t="s">
        <v>39</v>
      </c>
      <c r="B27" s="11">
        <f>VLOOKUP($A27,Dataset!$A:$X,MATCH("car1", Dataset!$A$1:$X$1, 0),FALSE)</f>
        <v>51.8</v>
      </c>
      <c r="C27" s="11">
        <f>VLOOKUP($A27,Dataset!$A:$X,MATCH("bus2", Dataset!$A$1:$X$1, 0),FALSE)</f>
        <v>156.4</v>
      </c>
      <c r="D27" s="11">
        <f>VLOOKUP($A27,Dataset!$A:$X,MATCH("rv3", Dataset!$A$1:$X$1, 0),FALSE)</f>
        <v>93.1</v>
      </c>
      <c r="E27" s="11">
        <f>VLOOKUP($A27,Dataset!$A:$X,MATCH("truck2", Dataset!$A$1:$X$1, 0),FALSE)</f>
        <v>188.1</v>
      </c>
      <c r="F27" s="11">
        <f>VLOOKUP($A27,Dataset!$A:$X,MATCH("taxi2", Dataset!$A$1:$X$1, 0),FALSE)</f>
        <v>93.1</v>
      </c>
    </row>
    <row r="28" spans="1:6" ht="15" x14ac:dyDescent="0.25">
      <c r="A28" s="18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8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8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7" zoomScaleNormal="100" workbookViewId="0">
      <selection activeCell="C21" sqref="C2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7" t="s">
        <v>165</v>
      </c>
      <c r="I9" s="2"/>
      <c r="J9" s="2"/>
    </row>
    <row r="10" spans="1:10" x14ac:dyDescent="0.25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2" t="s">
        <v>86</v>
      </c>
      <c r="B11" s="16" t="s">
        <v>87</v>
      </c>
      <c r="C11" s="16" t="s">
        <v>88</v>
      </c>
    </row>
    <row r="12" spans="1:3" ht="15" x14ac:dyDescent="0.25">
      <c r="A12" s="32">
        <v>44927</v>
      </c>
      <c r="B12" s="16" t="s">
        <v>59</v>
      </c>
      <c r="C12" s="16">
        <v>200</v>
      </c>
    </row>
    <row r="13" spans="1:3" ht="15" x14ac:dyDescent="0.25">
      <c r="A13" s="32">
        <v>44928</v>
      </c>
      <c r="B13" s="16" t="s">
        <v>60</v>
      </c>
      <c r="C13" s="16" t="e">
        <v>#N/A</v>
      </c>
    </row>
    <row r="14" spans="1:3" ht="15" x14ac:dyDescent="0.25">
      <c r="A14" s="32">
        <v>44929</v>
      </c>
      <c r="B14" s="16" t="s">
        <v>61</v>
      </c>
      <c r="C14" s="16">
        <v>50</v>
      </c>
    </row>
    <row r="15" spans="1:3" ht="15" x14ac:dyDescent="0.25">
      <c r="A15" s="32">
        <v>44930</v>
      </c>
      <c r="B15" s="16" t="s">
        <v>62</v>
      </c>
      <c r="C15" s="16" t="e">
        <v>#N/A</v>
      </c>
    </row>
    <row r="16" spans="1:3" ht="15" x14ac:dyDescent="0.25">
      <c r="A16" s="32">
        <v>44931</v>
      </c>
      <c r="B16" s="16" t="s">
        <v>63</v>
      </c>
      <c r="C16" s="16">
        <v>10</v>
      </c>
    </row>
    <row r="17" spans="1:3" ht="15" x14ac:dyDescent="0.25">
      <c r="A17" s="32">
        <v>44932</v>
      </c>
      <c r="B17" s="16" t="s">
        <v>154</v>
      </c>
      <c r="C17" s="16">
        <v>150</v>
      </c>
    </row>
    <row r="18" spans="1:3" ht="15" x14ac:dyDescent="0.25">
      <c r="A18" s="32">
        <v>44933</v>
      </c>
      <c r="B18" s="16" t="s">
        <v>155</v>
      </c>
      <c r="C18" s="16">
        <v>80</v>
      </c>
    </row>
    <row r="19" spans="1:3" ht="15" x14ac:dyDescent="0.25">
      <c r="A19" s="32">
        <v>44934</v>
      </c>
      <c r="B19" s="16" t="s">
        <v>156</v>
      </c>
      <c r="C19" s="16" t="e">
        <v>#N/A</v>
      </c>
    </row>
    <row r="20" spans="1:3" ht="15" x14ac:dyDescent="0.25">
      <c r="A20" s="32">
        <v>44935</v>
      </c>
      <c r="B20" s="16" t="s">
        <v>157</v>
      </c>
      <c r="C20" s="16">
        <v>30</v>
      </c>
    </row>
    <row r="21" spans="1:3" ht="15" x14ac:dyDescent="0.25">
      <c r="A21" s="32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>
        <f>COUNTIF(C12:C21,"#N/A")*20+_xlfn.AGGREGATE(9,6,C12:C21)</f>
        <v>600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D27" sqref="D27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4">
        <f>VLOOKUP(VLOOKUP(A23,M:N,2,0),$A$9:$J$18,MATCH(VLOOKUP(B23,M:N,2,0),$A$9:$J$9,0),0)</f>
        <v>95</v>
      </c>
    </row>
    <row r="24" spans="1:14" ht="15" x14ac:dyDescent="0.25">
      <c r="A24" s="7">
        <v>10100</v>
      </c>
      <c r="B24" s="11">
        <v>10104</v>
      </c>
      <c r="C24" s="44">
        <f t="shared" ref="C24:C35" si="0">VLOOKUP(VLOOKUP(A24,M:N,2,0),$A$9:$J$18,MATCH(VLOOKUP(B24,M:N,2,0),$A$9:$J$9,0),0)</f>
        <v>-1</v>
      </c>
    </row>
    <row r="25" spans="1:14" ht="15" x14ac:dyDescent="0.25">
      <c r="A25" s="7">
        <v>10108</v>
      </c>
      <c r="B25" s="11">
        <v>10102</v>
      </c>
      <c r="C25" s="44">
        <f t="shared" si="0"/>
        <v>160</v>
      </c>
    </row>
    <row r="26" spans="1:14" ht="15" x14ac:dyDescent="0.25">
      <c r="A26" s="7">
        <v>10100</v>
      </c>
      <c r="B26" s="11">
        <v>10106</v>
      </c>
      <c r="C26" s="44">
        <f t="shared" si="0"/>
        <v>185</v>
      </c>
    </row>
    <row r="27" spans="1:14" ht="15" x14ac:dyDescent="0.25">
      <c r="A27" s="7">
        <v>10108</v>
      </c>
      <c r="B27" s="11">
        <v>10110</v>
      </c>
      <c r="C27" s="44">
        <f t="shared" si="0"/>
        <v>50</v>
      </c>
    </row>
    <row r="28" spans="1:14" ht="15" x14ac:dyDescent="0.25">
      <c r="A28" s="7">
        <v>10102</v>
      </c>
      <c r="B28" s="11">
        <v>10104</v>
      </c>
      <c r="C28" s="44">
        <f t="shared" si="0"/>
        <v>-1</v>
      </c>
    </row>
    <row r="29" spans="1:14" ht="15" x14ac:dyDescent="0.25">
      <c r="A29" s="7">
        <v>10106</v>
      </c>
      <c r="B29" s="11">
        <v>10108</v>
      </c>
      <c r="C29" s="44">
        <f t="shared" si="0"/>
        <v>70</v>
      </c>
    </row>
    <row r="30" spans="1:14" ht="15" x14ac:dyDescent="0.25">
      <c r="A30" s="7">
        <v>10102</v>
      </c>
      <c r="B30" s="11">
        <v>10106</v>
      </c>
      <c r="C30" s="44">
        <f t="shared" si="0"/>
        <v>90</v>
      </c>
    </row>
    <row r="31" spans="1:14" ht="15" x14ac:dyDescent="0.25">
      <c r="A31" s="7">
        <v>10110</v>
      </c>
      <c r="B31" s="11">
        <v>10114</v>
      </c>
      <c r="C31" s="44">
        <f t="shared" si="0"/>
        <v>180</v>
      </c>
    </row>
    <row r="32" spans="1:14" ht="15" x14ac:dyDescent="0.25">
      <c r="A32" s="7">
        <v>10104</v>
      </c>
      <c r="B32" s="11">
        <v>10106</v>
      </c>
      <c r="C32" s="44">
        <f t="shared" si="0"/>
        <v>60</v>
      </c>
    </row>
    <row r="33" spans="1:3" ht="15" x14ac:dyDescent="0.25">
      <c r="A33" s="7">
        <v>10110</v>
      </c>
      <c r="B33" s="11">
        <v>10112</v>
      </c>
      <c r="C33" s="44">
        <f t="shared" si="0"/>
        <v>115</v>
      </c>
    </row>
    <row r="34" spans="1:3" ht="15" x14ac:dyDescent="0.25">
      <c r="A34" s="7">
        <v>10100</v>
      </c>
      <c r="B34" s="11">
        <v>10114</v>
      </c>
      <c r="C34" s="44">
        <f t="shared" si="0"/>
        <v>480</v>
      </c>
    </row>
    <row r="35" spans="1:3" ht="15" x14ac:dyDescent="0.25">
      <c r="A35" s="8">
        <v>10112</v>
      </c>
      <c r="B35" s="12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user</cp:lastModifiedBy>
  <cp:lastPrinted>2023-12-09T08:14:54Z</cp:lastPrinted>
  <dcterms:created xsi:type="dcterms:W3CDTF">2015-02-10T17:33:11Z</dcterms:created>
  <dcterms:modified xsi:type="dcterms:W3CDTF">2023-12-09T08:47:53Z</dcterms:modified>
</cp:coreProperties>
</file>